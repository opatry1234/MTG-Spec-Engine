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 (confirm)" sheetId="1" state="visible" r:id="rId3"/>
    <sheet name="Scarcity proxy (REAL)" sheetId="2" state="visible" r:id="rId4"/>
    <sheet name="Ignition logic (editable)" sheetId="3" state="visible" r:id="rId5"/>
    <sheet name="Status &amp; ope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<sst xmlns="http://schemas.openxmlformats.org/spreadsheetml/2006/main" count="232" uniqueCount="155">
  <si>
    <t xml:space="preserve">Daily Snapshot Schema — confirm fields, sources &amp; metrics</t>
  </si>
  <si>
    <t xml:space="preserve">One row per (card, day). Layers: live feed (price/supply), printing proxy (from our DB, point-in-time at any date), derived metrics.</t>
  </si>
  <si>
    <t xml:space="preserve">Field</t>
  </si>
  <si>
    <t xml:space="preserve">Layer</t>
  </si>
  <si>
    <t xml:space="preserve">Source</t>
  </si>
  <si>
    <t xml:space="preserve">Type</t>
  </si>
  <si>
    <t xml:space="preserve">Refresh</t>
  </si>
  <si>
    <t xml:space="preserve">Definition / Formula</t>
  </si>
  <si>
    <t xml:space="preserve">Status</t>
  </si>
  <si>
    <t xml:space="preserve">card_name</t>
  </si>
  <si>
    <t xml:space="preserve">identity</t>
  </si>
  <si>
    <t xml:space="preserve">DB / MTGJSON</t>
  </si>
  <si>
    <t xml:space="preserve">text</t>
  </si>
  <si>
    <t xml:space="preserve">—</t>
  </si>
  <si>
    <t xml:space="preserve">Oracle card name (printing-agnostic)</t>
  </si>
  <si>
    <t xml:space="preserve">REAL NOW</t>
  </si>
  <si>
    <t xml:space="preserve">snapshot_date</t>
  </si>
  <si>
    <t xml:space="preserve">job clock</t>
  </si>
  <si>
    <t xml:space="preserve">date</t>
  </si>
  <si>
    <t xml:space="preserve">daily</t>
  </si>
  <si>
    <t xml:space="preserve">Date this row was captured</t>
  </si>
  <si>
    <t xml:space="preserve">price_usd</t>
  </si>
  <si>
    <t xml:space="preserve">price</t>
  </si>
  <si>
    <t xml:space="preserve">MTGJSON AllPrices (free)</t>
  </si>
  <si>
    <t xml:space="preserve">$</t>
  </si>
  <si>
    <t xml:space="preserve">TCGplayer market USD; point-in-time once accumulated</t>
  </si>
  <si>
    <t xml:space="preserve">PENDING FEED</t>
  </si>
  <si>
    <t xml:space="preserve">price_source</t>
  </si>
  <si>
    <t xml:space="preserve">MTGJSON/Scryfall</t>
  </si>
  <si>
    <t xml:space="preserve">Which provider supplied the price</t>
  </si>
  <si>
    <t xml:space="preserve">available_copies</t>
  </si>
  <si>
    <t xml:space="preserve">supply</t>
  </si>
  <si>
    <t xml:space="preserve">tcgapis live-listings</t>
  </si>
  <si>
    <t xml:space="preserve">int</t>
  </si>
  <si>
    <t xml:space="preserve">Total copies listed for sale right now</t>
  </si>
  <si>
    <t xml:space="preserve">NEEDS WORKING FEED</t>
  </si>
  <si>
    <t xml:space="preserve">seller_count</t>
  </si>
  <si>
    <t xml:space="preserve">Distinct sellers</t>
  </si>
  <si>
    <t xml:space="preserve">num_printings</t>
  </si>
  <si>
    <t xml:space="preserve">printing proxy</t>
  </si>
  <si>
    <t xml:space="preserve">DB (Scryfall printings)</t>
  </si>
  <si>
    <t xml:space="preserve">static</t>
  </si>
  <si>
    <t xml:space="preserve"># printings existing on/before anchor</t>
  </si>
  <si>
    <t xml:space="preserve">first_printing_date</t>
  </si>
  <si>
    <t xml:space="preserve">DB</t>
  </si>
  <si>
    <t xml:space="preserve">Earliest printing</t>
  </si>
  <si>
    <t xml:space="preserve">last_reprint_days</t>
  </si>
  <si>
    <t xml:space="preserve">Days since most recent printing at anchor</t>
  </si>
  <si>
    <t xml:space="preserve">is_reserved</t>
  </si>
  <si>
    <t xml:space="preserve">bool</t>
  </si>
  <si>
    <t xml:space="preserve">Reserved List flag</t>
  </si>
  <si>
    <t xml:space="preserve">printing_scarcity</t>
  </si>
  <si>
    <t xml:space="preserve">features/supply.py</t>
  </si>
  <si>
    <t xml:space="preserve">0-1</t>
  </si>
  <si>
    <t xml:space="preserve">compute_spec_supply_score(): fewer/older/never-reprinted = higher</t>
  </si>
  <si>
    <t xml:space="preserve">daily_absorption</t>
  </si>
  <si>
    <t xml:space="preserve">derived</t>
  </si>
  <si>
    <t xml:space="preserve">Δ available_copies</t>
  </si>
  <si>
    <t xml:space="preserve">int/day</t>
  </si>
  <si>
    <t xml:space="preserve">Drop in available_copies vs prior snapshot (net of new listings)</t>
  </si>
  <si>
    <t xml:space="preserve">NEEDS 2+ SNAPSHOTS</t>
  </si>
  <si>
    <t xml:space="preserve">days_of_inventory</t>
  </si>
  <si>
    <t xml:space="preserve">formula</t>
  </si>
  <si>
    <t xml:space="preserve">days</t>
  </si>
  <si>
    <t xml:space="preserve">available_copies / max(daily_absorption, 0.1) — low = hot/scarce</t>
  </si>
  <si>
    <t xml:space="preserve">DERIVED</t>
  </si>
  <si>
    <t xml:space="preserve">sell_through_rate</t>
  </si>
  <si>
    <t xml:space="preserve">0-1/day</t>
  </si>
  <si>
    <t xml:space="preserve">daily_absorption / available_copies</t>
  </si>
  <si>
    <t xml:space="preserve">velocity_factor</t>
  </si>
  <si>
    <t xml:space="preserve">1 - min(days_of_inventory/60, 1) — fast clear = ~1</t>
  </si>
  <si>
    <t xml:space="preserve">effective_scarcity</t>
  </si>
  <si>
    <t xml:space="preserve">0.5*printing_scarcity + 0.5*velocity_factor</t>
  </si>
  <si>
    <t xml:space="preserve">price_factor</t>
  </si>
  <si>
    <t xml:space="preserve">1 - min(price_usd/10, 1) — cheap = ~1, &gt;=$10 = 0 (your $10 gate)</t>
  </si>
  <si>
    <t xml:space="preserve">new_home</t>
  </si>
  <si>
    <t xml:space="preserve">scorer</t>
  </si>
  <si>
    <t xml:space="preserve">per-eval</t>
  </si>
  <si>
    <t xml:space="preserve">synergy_fit with THIS precon's commander/deck</t>
  </si>
  <si>
    <t xml:space="preserve">ignition_score</t>
  </si>
  <si>
    <t xml:space="preserve">price_factor * effective_scarcity * new_home (all three must align)</t>
  </si>
  <si>
    <t xml:space="preserve">Printing-derived scarcity — REAL values from our DB (no live data needed, point-in-time at any anchor)</t>
  </si>
  <si>
    <t xml:space="preserve">Source: features/supply.py compute_spec_supply_score(), as_of=2026-06-05. This is the historical 'scarce supply' signal.</t>
  </si>
  <si>
    <t xml:space="preserve">Card</t>
  </si>
  <si>
    <t xml:space="preserve">Rarity</t>
  </si>
  <si>
    <t xml:space="preserve"># Printings</t>
  </si>
  <si>
    <t xml:space="preserve">Last reprint (days)</t>
  </si>
  <si>
    <t xml:space="preserve">Yrs since 1st</t>
  </si>
  <si>
    <t xml:space="preserve">Reserved</t>
  </si>
  <si>
    <t xml:space="preserve">scarcity_score</t>
  </si>
  <si>
    <t xml:space="preserve">spec_supply_score</t>
  </si>
  <si>
    <t xml:space="preserve">Read</t>
  </si>
  <si>
    <t xml:space="preserve">Crumbling Ashes</t>
  </si>
  <si>
    <t xml:space="preserve">uncommon</t>
  </si>
  <si>
    <t xml:space="preserve">single 18-yr-old print → top scarcity (a real golden spike)</t>
  </si>
  <si>
    <t xml:space="preserve">Atomize</t>
  </si>
  <si>
    <t xml:space="preserve">rare</t>
  </si>
  <si>
    <t xml:space="preserve">4 recent prints → abundant, low</t>
  </si>
  <si>
    <t xml:space="preserve">Filigree Vector</t>
  </si>
  <si>
    <t xml:space="preserve">2 prints → moderate</t>
  </si>
  <si>
    <t xml:space="preserve">Persistent Constrictor</t>
  </si>
  <si>
    <t xml:space="preserve">2 recent prints → moderate-low</t>
  </si>
  <si>
    <t xml:space="preserve">Mana Drain</t>
  </si>
  <si>
    <t xml:space="preserve">mythic</t>
  </si>
  <si>
    <t xml:space="preserve">old, mid prints → moderate</t>
  </si>
  <si>
    <t xml:space="preserve">Dockside Extortionist</t>
  </si>
  <si>
    <t xml:space="preserve">mythic, few prints → low-mod</t>
  </si>
  <si>
    <t xml:space="preserve">Smothering Tithe</t>
  </si>
  <si>
    <t xml:space="preserve">reprinted mythic → low</t>
  </si>
  <si>
    <t xml:space="preserve">Three Tree City</t>
  </si>
  <si>
    <t xml:space="preserve">new chase, 7 prints → low-mod</t>
  </si>
  <si>
    <t xml:space="preserve">Llanowar Elves</t>
  </si>
  <si>
    <t xml:space="preserve">common</t>
  </si>
  <si>
    <t xml:space="preserve">62 prints → ~0 (staple)</t>
  </si>
  <si>
    <t xml:space="preserve">Cultivate</t>
  </si>
  <si>
    <t xml:space="preserve">53 prints → ~0 (ramp staple, would be filtered)</t>
  </si>
  <si>
    <t xml:space="preserve">Arcane Signet</t>
  </si>
  <si>
    <t xml:space="preserve">83 prints → ~0 (staple)</t>
  </si>
  <si>
    <t xml:space="preserve">Sol Ring</t>
  </si>
  <si>
    <t xml:space="preserve">128 prints → ~0 (universal staple)</t>
  </si>
  <si>
    <t xml:space="preserve">Ignition formula — edit the blue inputs, outputs recalc. Encodes: CHEAP x SCARCE x NEW-HOME.</t>
  </si>
  <si>
    <t xml:space="preserve">Blue = inputs you can change. Black = formulas. Validates the logic before we wire it into the scorer.</t>
  </si>
  <si>
    <t xml:space="preserve">Scenario</t>
  </si>
  <si>
    <t xml:space="preserve">new_home (synergy)</t>
  </si>
  <si>
    <t xml:space="preserve">sell_through</t>
  </si>
  <si>
    <t xml:space="preserve">IGNITION</t>
  </si>
  <si>
    <t xml:space="preserve">Cheap + scarce + selling + new home</t>
  </si>
  <si>
    <t xml:space="preserve">Cheap + ABUNDANT + stale (2000 listed, 3/day)</t>
  </si>
  <si>
    <t xml:space="preserve">EXPENSIVE + scarce (&gt;$10 gate)</t>
  </si>
  <si>
    <t xml:space="preserve">Cheap + scarce + NO new home</t>
  </si>
  <si>
    <t xml:space="preserve">Mid price + scarce + selling</t>
  </si>
  <si>
    <t xml:space="preserve">days_of_inventory = copies / max(absorption,0.1)  |  velocity_factor = 1-min(days/60,1)  |  effective_scarcity = ½ printing + ½ velocity</t>
  </si>
  <si>
    <t xml:space="preserve">price_factor = 1-min(price/10,1)  |  IGNITION = price_factor x effective_scarcity x new_home  (all three needed)</t>
  </si>
  <si>
    <t xml:space="preserve">WHAT'S REAL RIGHT NOW (no live feed needed)</t>
  </si>
  <si>
    <t xml:space="preserve">• Printing-derived scarcity (Sheet 2) — point-in-time at any anchor, from Scryfall printings already in our DB.</t>
  </si>
  <si>
    <t xml:space="preserve">• Color + archetype staples — from the 161-deck decklist data (the staples rework you approved).</t>
  </si>
  <si>
    <t xml:space="preserve">• new_home / synergy — already computed by the scorer.</t>
  </si>
  <si>
    <t xml:space="preserve">WHAT'S PENDING A WORKING FEED</t>
  </si>
  <si>
    <t xml:space="preserve">• price_usd — free via MTGJSON AllPrices (90-day rolling). Wired in ingest/prices.py but AllPrices.json not currently downloaded.</t>
  </si>
  <si>
    <t xml:space="preserve">• available_copies / seller_count — free tcgapis live-listings. BUT see finding below.</t>
  </si>
  <si>
    <t xml:space="preserve">• daily_absorption / velocity — needs &gt;=2 daily snapshots to exist. Builds forward only.</t>
  </si>
  <si>
    <t xml:space="preserve">FINDING: the existing supply snapshot is degenerate</t>
  </si>
  <si>
    <t xml:space="preserve">• All 36,999 rows are dated 2026-06-04 with tcg_listing_count=60 and total_listings=425 for EVERY card, and null prices.</t>
  </si>
  <si>
    <t xml:space="preserve">• Identical values = a capped/placeholder API response, not real supply. The free tcgapis endpoint returned EMPTY when re-tested.</t>
  </si>
  <si>
    <t xml:space="preserve">• So the supply feed must be fixed/validated (or a key obtained) BEFORE a daily job is worth scheduling — otherwise we accumulate junk.</t>
  </si>
  <si>
    <t xml:space="preserve">CONSEQUENCE FOR BACKTESTS vs LIVE</t>
  </si>
  <si>
    <t xml:space="preserve">• Live (new precon today): price+supply+velocity all available once feeds work — anchor = now = point-in-time.</t>
  </si>
  <si>
    <t xml:space="preserve">• Backtests of past decks: only the printing proxy is truly point-in-time. Historical listing-counts don't exist anywhere to backfill.</t>
  </si>
  <si>
    <t xml:space="preserve">PROPOSED DAILY JOB (once supply feed validated)</t>
  </si>
  <si>
    <t xml:space="preserve">• 1x/day: download MTGJSON AllPrices -&gt; upsert price_history; pull tcgapis live-listings -&gt; append supply_snapshots.</t>
  </si>
  <si>
    <t xml:space="preserve">• Velocity/days_of_inventory come online automatically after the 2nd day.</t>
  </si>
  <si>
    <t xml:space="preserve">OPEN QUESTIONS FOR YOU</t>
  </si>
  <si>
    <t xml:space="preserve">1. Confirm the Schema sheet fields + the ignition formula on Sheet 3.</t>
  </si>
  <si>
    <t xml:space="preserve">2. The supply feed: do you have a tcgapis endpoint/path that returns real listing counts free, or should we treat supply as printing-proxy-only for now and add live counts later?</t>
  </si>
  <si>
    <t xml:space="preserve">3. OK to schedule the daily price job now (price works free via MTGJSON) and hold the supply half until the feed is fixed?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</si>
</sst>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3"/>
      <color rgb="FF30549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305496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30549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customFormat="false" ht="15" hidden="false" customHeight="false" outlineLevel="0" collapsed="false">
      <c r="A6" s="4" t="s">
        <v>16</v>
      </c>
      <c r="B6" s="4" t="s">
        <v>10</v>
      </c>
      <c r="C6" s="4" t="s">
        <v>17</v>
      </c>
      <c r="D6" s="4" t="s">
        <v>18</v>
      </c>
      <c r="E6" s="4" t="s">
        <v>19</v>
      </c>
      <c r="F6" s="4" t="s">
        <v>20</v>
      </c>
      <c r="G6" s="5" t="s">
        <v>15</v>
      </c>
    </row>
    <row r="7" customFormat="false" ht="26.8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19</v>
      </c>
      <c r="F7" s="4" t="s">
        <v>25</v>
      </c>
      <c r="G7" s="6" t="s">
        <v>26</v>
      </c>
    </row>
    <row r="8" customFormat="false" ht="15" hidden="false" customHeight="false" outlineLevel="0" collapsed="false">
      <c r="A8" s="4" t="s">
        <v>27</v>
      </c>
      <c r="B8" s="4" t="s">
        <v>22</v>
      </c>
      <c r="C8" s="4" t="s">
        <v>28</v>
      </c>
      <c r="D8" s="4" t="s">
        <v>12</v>
      </c>
      <c r="E8" s="4" t="s">
        <v>19</v>
      </c>
      <c r="F8" s="4" t="s">
        <v>29</v>
      </c>
      <c r="G8" s="6" t="s">
        <v>26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32</v>
      </c>
      <c r="D9" s="4" t="s">
        <v>33</v>
      </c>
      <c r="E9" s="4" t="s">
        <v>19</v>
      </c>
      <c r="F9" s="4" t="s">
        <v>34</v>
      </c>
      <c r="G9" s="6" t="s">
        <v>35</v>
      </c>
    </row>
    <row r="10" customFormat="false" ht="15" hidden="false" customHeight="false" outlineLevel="0" collapsed="false">
      <c r="A10" s="4" t="s">
        <v>36</v>
      </c>
      <c r="B10" s="4" t="s">
        <v>31</v>
      </c>
      <c r="C10" s="4" t="s">
        <v>32</v>
      </c>
      <c r="D10" s="4" t="s">
        <v>33</v>
      </c>
      <c r="E10" s="4" t="s">
        <v>19</v>
      </c>
      <c r="F10" s="4" t="s">
        <v>37</v>
      </c>
      <c r="G10" s="6" t="s">
        <v>35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40</v>
      </c>
      <c r="D11" s="4" t="s">
        <v>33</v>
      </c>
      <c r="E11" s="4" t="s">
        <v>41</v>
      </c>
      <c r="F11" s="4" t="s">
        <v>42</v>
      </c>
      <c r="G11" s="5" t="s">
        <v>15</v>
      </c>
    </row>
    <row r="12" customFormat="false" ht="15" hidden="false" customHeight="false" outlineLevel="0" collapsed="false">
      <c r="A12" s="4" t="s">
        <v>43</v>
      </c>
      <c r="B12" s="4" t="s">
        <v>39</v>
      </c>
      <c r="C12" s="4" t="s">
        <v>44</v>
      </c>
      <c r="D12" s="4" t="s">
        <v>18</v>
      </c>
      <c r="E12" s="4" t="s">
        <v>41</v>
      </c>
      <c r="F12" s="4" t="s">
        <v>45</v>
      </c>
      <c r="G12" s="5" t="s">
        <v>15</v>
      </c>
    </row>
    <row r="13" customFormat="false" ht="15" hidden="false" customHeight="false" outlineLevel="0" collapsed="false">
      <c r="A13" s="4" t="s">
        <v>46</v>
      </c>
      <c r="B13" s="4" t="s">
        <v>39</v>
      </c>
      <c r="C13" s="4" t="s">
        <v>44</v>
      </c>
      <c r="D13" s="4" t="s">
        <v>33</v>
      </c>
      <c r="E13" s="4" t="s">
        <v>41</v>
      </c>
      <c r="F13" s="4" t="s">
        <v>47</v>
      </c>
      <c r="G13" s="5" t="s">
        <v>15</v>
      </c>
    </row>
    <row r="14" customFormat="false" ht="15" hidden="false" customHeight="false" outlineLevel="0" collapsed="false">
      <c r="A14" s="4" t="s">
        <v>48</v>
      </c>
      <c r="B14" s="4" t="s">
        <v>39</v>
      </c>
      <c r="C14" s="4" t="s">
        <v>44</v>
      </c>
      <c r="D14" s="4" t="s">
        <v>49</v>
      </c>
      <c r="E14" s="4" t="s">
        <v>41</v>
      </c>
      <c r="F14" s="4" t="s">
        <v>50</v>
      </c>
      <c r="G14" s="5" t="s">
        <v>15</v>
      </c>
    </row>
    <row r="15" customFormat="false" ht="26.85" hidden="false" customHeight="false" outlineLevel="0" collapsed="false">
      <c r="A15" s="4" t="s">
        <v>51</v>
      </c>
      <c r="B15" s="4" t="s">
        <v>39</v>
      </c>
      <c r="C15" s="4" t="s">
        <v>52</v>
      </c>
      <c r="D15" s="4" t="s">
        <v>53</v>
      </c>
      <c r="E15" s="4" t="s">
        <v>41</v>
      </c>
      <c r="F15" s="4" t="s">
        <v>54</v>
      </c>
      <c r="G15" s="5" t="s">
        <v>15</v>
      </c>
    </row>
    <row r="16" customFormat="false" ht="26.85" hidden="false" customHeight="false" outlineLevel="0" collapsed="false">
      <c r="A16" s="4" t="s">
        <v>55</v>
      </c>
      <c r="B16" s="4" t="s">
        <v>56</v>
      </c>
      <c r="C16" s="4" t="s">
        <v>57</v>
      </c>
      <c r="D16" s="4" t="s">
        <v>58</v>
      </c>
      <c r="E16" s="4" t="s">
        <v>19</v>
      </c>
      <c r="F16" s="4" t="s">
        <v>59</v>
      </c>
      <c r="G16" s="6" t="s">
        <v>60</v>
      </c>
    </row>
    <row r="17" customFormat="false" ht="26.85" hidden="false" customHeight="false" outlineLevel="0" collapsed="false">
      <c r="A17" s="4" t="s">
        <v>61</v>
      </c>
      <c r="B17" s="4" t="s">
        <v>56</v>
      </c>
      <c r="C17" s="4" t="s">
        <v>62</v>
      </c>
      <c r="D17" s="4" t="s">
        <v>63</v>
      </c>
      <c r="E17" s="4" t="s">
        <v>19</v>
      </c>
      <c r="F17" s="4" t="s">
        <v>64</v>
      </c>
      <c r="G17" s="7" t="s">
        <v>65</v>
      </c>
    </row>
    <row r="18" customFormat="false" ht="15" hidden="false" customHeight="false" outlineLevel="0" collapsed="false">
      <c r="A18" s="4" t="s">
        <v>66</v>
      </c>
      <c r="B18" s="4" t="s">
        <v>56</v>
      </c>
      <c r="C18" s="4" t="s">
        <v>62</v>
      </c>
      <c r="D18" s="4" t="s">
        <v>67</v>
      </c>
      <c r="E18" s="4" t="s">
        <v>19</v>
      </c>
      <c r="F18" s="4" t="s">
        <v>68</v>
      </c>
      <c r="G18" s="7" t="s">
        <v>65</v>
      </c>
    </row>
    <row r="19" customFormat="false" ht="15" hidden="false" customHeight="false" outlineLevel="0" collapsed="false">
      <c r="A19" s="4" t="s">
        <v>69</v>
      </c>
      <c r="B19" s="4" t="s">
        <v>56</v>
      </c>
      <c r="C19" s="4" t="s">
        <v>62</v>
      </c>
      <c r="D19" s="4" t="s">
        <v>53</v>
      </c>
      <c r="E19" s="4" t="s">
        <v>19</v>
      </c>
      <c r="F19" s="4" t="s">
        <v>70</v>
      </c>
      <c r="G19" s="7" t="s">
        <v>65</v>
      </c>
    </row>
    <row r="20" customFormat="false" ht="15" hidden="false" customHeight="false" outlineLevel="0" collapsed="false">
      <c r="A20" s="4" t="s">
        <v>71</v>
      </c>
      <c r="B20" s="4" t="s">
        <v>56</v>
      </c>
      <c r="C20" s="4" t="s">
        <v>62</v>
      </c>
      <c r="D20" s="4" t="s">
        <v>53</v>
      </c>
      <c r="E20" s="4" t="s">
        <v>19</v>
      </c>
      <c r="F20" s="4" t="s">
        <v>72</v>
      </c>
      <c r="G20" s="7" t="s">
        <v>65</v>
      </c>
    </row>
    <row r="21" customFormat="false" ht="26.85" hidden="false" customHeight="false" outlineLevel="0" collapsed="false">
      <c r="A21" s="4" t="s">
        <v>73</v>
      </c>
      <c r="B21" s="4" t="s">
        <v>56</v>
      </c>
      <c r="C21" s="4" t="s">
        <v>62</v>
      </c>
      <c r="D21" s="4" t="s">
        <v>53</v>
      </c>
      <c r="E21" s="4" t="s">
        <v>19</v>
      </c>
      <c r="F21" s="4" t="s">
        <v>74</v>
      </c>
      <c r="G21" s="7" t="s">
        <v>65</v>
      </c>
    </row>
    <row r="22" customFormat="false" ht="15" hidden="false" customHeight="false" outlineLevel="0" collapsed="false">
      <c r="A22" s="4" t="s">
        <v>75</v>
      </c>
      <c r="B22" s="4" t="s">
        <v>56</v>
      </c>
      <c r="C22" s="4" t="s">
        <v>76</v>
      </c>
      <c r="D22" s="4" t="s">
        <v>53</v>
      </c>
      <c r="E22" s="4" t="s">
        <v>77</v>
      </c>
      <c r="F22" s="4" t="s">
        <v>78</v>
      </c>
      <c r="G22" s="5" t="s">
        <v>15</v>
      </c>
    </row>
    <row r="23" customFormat="false" ht="26.85" hidden="false" customHeight="false" outlineLevel="0" collapsed="false">
      <c r="A23" s="4" t="s">
        <v>79</v>
      </c>
      <c r="B23" s="4" t="s">
        <v>56</v>
      </c>
      <c r="C23" s="4" t="s">
        <v>62</v>
      </c>
      <c r="D23" s="4" t="s">
        <v>53</v>
      </c>
      <c r="E23" s="4" t="s">
        <v>77</v>
      </c>
      <c r="F23" s="4" t="s">
        <v>80</v>
      </c>
      <c r="G23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8" t="s">
        <v>81</v>
      </c>
    </row>
    <row r="2" customFormat="false" ht="15" hidden="false" customHeight="false" outlineLevel="0" collapsed="false">
      <c r="A2" s="2" t="s">
        <v>82</v>
      </c>
    </row>
    <row r="4" customFormat="false" ht="26.85" hidden="false" customHeight="fals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</row>
    <row r="5" customFormat="false" ht="26.85" hidden="false" customHeight="false" outlineLevel="0" collapsed="false">
      <c r="A5" s="4" t="s">
        <v>92</v>
      </c>
      <c r="B5" s="4" t="s">
        <v>93</v>
      </c>
      <c r="C5" s="4" t="n">
        <v>1</v>
      </c>
      <c r="D5" s="4" t="n">
        <v>6524</v>
      </c>
      <c r="E5" s="4" t="n">
        <v>17.9</v>
      </c>
      <c r="F5" s="9" t="b">
        <f aca="false">FALSE()</f>
        <v>0</v>
      </c>
      <c r="G5" s="4" t="n">
        <v>0.8</v>
      </c>
      <c r="H5" s="10" t="n">
        <v>0.82</v>
      </c>
      <c r="I5" s="4" t="s">
        <v>94</v>
      </c>
    </row>
    <row r="6" customFormat="false" ht="15" hidden="false" customHeight="false" outlineLevel="0" collapsed="false">
      <c r="A6" s="4" t="s">
        <v>95</v>
      </c>
      <c r="B6" s="4" t="s">
        <v>96</v>
      </c>
      <c r="C6" s="4" t="n">
        <v>4</v>
      </c>
      <c r="D6" s="4" t="n">
        <v>819</v>
      </c>
      <c r="E6" s="4" t="n">
        <v>2.2</v>
      </c>
      <c r="F6" s="9" t="b">
        <f aca="false">FALSE()</f>
        <v>0</v>
      </c>
      <c r="G6" s="4" t="n">
        <v>0.19</v>
      </c>
      <c r="H6" s="10" t="n">
        <v>0.1898</v>
      </c>
      <c r="I6" s="4" t="s">
        <v>97</v>
      </c>
    </row>
    <row r="7" customFormat="false" ht="15" hidden="false" customHeight="false" outlineLevel="0" collapsed="false">
      <c r="A7" s="4" t="s">
        <v>98</v>
      </c>
      <c r="B7" s="4" t="s">
        <v>96</v>
      </c>
      <c r="C7" s="4" t="n">
        <v>2</v>
      </c>
      <c r="D7" s="4" t="n">
        <v>1141</v>
      </c>
      <c r="E7" s="4" t="n">
        <v>3.1</v>
      </c>
      <c r="F7" s="9" t="b">
        <f aca="false">FALSE()</f>
        <v>0</v>
      </c>
      <c r="G7" s="4" t="n">
        <v>0.325</v>
      </c>
      <c r="H7" s="10" t="n">
        <v>0.325</v>
      </c>
      <c r="I7" s="4" t="s">
        <v>99</v>
      </c>
    </row>
    <row r="8" customFormat="false" ht="15" hidden="false" customHeight="false" outlineLevel="0" collapsed="false">
      <c r="A8" s="4" t="s">
        <v>100</v>
      </c>
      <c r="B8" s="4" t="s">
        <v>96</v>
      </c>
      <c r="C8" s="4" t="n">
        <v>2</v>
      </c>
      <c r="D8" s="4" t="n">
        <v>616</v>
      </c>
      <c r="E8" s="4" t="n">
        <v>1.7</v>
      </c>
      <c r="F8" s="9" t="b">
        <f aca="false">FALSE()</f>
        <v>0</v>
      </c>
      <c r="G8" s="4" t="n">
        <v>0.268</v>
      </c>
      <c r="H8" s="10" t="n">
        <v>0.2675</v>
      </c>
      <c r="I8" s="4" t="s">
        <v>101</v>
      </c>
    </row>
    <row r="9" customFormat="false" ht="15" hidden="false" customHeight="false" outlineLevel="0" collapsed="false">
      <c r="A9" s="4" t="s">
        <v>102</v>
      </c>
      <c r="B9" s="4" t="s">
        <v>103</v>
      </c>
      <c r="C9" s="4" t="n">
        <v>15</v>
      </c>
      <c r="D9" s="4" t="n">
        <v>777</v>
      </c>
      <c r="E9" s="4" t="n">
        <v>32</v>
      </c>
      <c r="F9" s="9" t="b">
        <f aca="false">FALSE()</f>
        <v>0</v>
      </c>
      <c r="G9" s="4" t="n">
        <v>0.112</v>
      </c>
      <c r="H9" s="10" t="n">
        <v>0.1118</v>
      </c>
      <c r="I9" s="4" t="s">
        <v>104</v>
      </c>
    </row>
    <row r="10" customFormat="false" ht="15" hidden="false" customHeight="false" outlineLevel="0" collapsed="false">
      <c r="A10" s="4" t="s">
        <v>105</v>
      </c>
      <c r="B10" s="4" t="s">
        <v>103</v>
      </c>
      <c r="C10" s="4" t="n">
        <v>7</v>
      </c>
      <c r="D10" s="4" t="n">
        <v>196</v>
      </c>
      <c r="E10" s="4" t="n">
        <v>6.8</v>
      </c>
      <c r="F10" s="9" t="b">
        <f aca="false">FALSE()</f>
        <v>0</v>
      </c>
      <c r="G10" s="4" t="n">
        <v>0.079</v>
      </c>
      <c r="H10" s="10" t="n">
        <v>0.0786</v>
      </c>
      <c r="I10" s="4" t="s">
        <v>106</v>
      </c>
    </row>
    <row r="11" customFormat="false" ht="15" hidden="false" customHeight="false" outlineLevel="0" collapsed="false">
      <c r="A11" s="4" t="s">
        <v>107</v>
      </c>
      <c r="B11" s="4" t="s">
        <v>103</v>
      </c>
      <c r="C11" s="4" t="n">
        <v>14</v>
      </c>
      <c r="D11" s="4" t="n">
        <v>432</v>
      </c>
      <c r="E11" s="4" t="n">
        <v>7.4</v>
      </c>
      <c r="F11" s="9" t="b">
        <f aca="false">FALSE()</f>
        <v>0</v>
      </c>
      <c r="G11" s="4" t="n">
        <v>0.076</v>
      </c>
      <c r="H11" s="10" t="n">
        <v>0.0759</v>
      </c>
      <c r="I11" s="4" t="s">
        <v>108</v>
      </c>
    </row>
    <row r="12" customFormat="false" ht="15" hidden="false" customHeight="false" outlineLevel="0" collapsed="false">
      <c r="A12" s="4" t="s">
        <v>109</v>
      </c>
      <c r="B12" s="4" t="s">
        <v>96</v>
      </c>
      <c r="C12" s="4" t="n">
        <v>7</v>
      </c>
      <c r="D12" s="4" t="n">
        <v>672</v>
      </c>
      <c r="E12" s="4" t="n">
        <v>1.8</v>
      </c>
      <c r="F12" s="9" t="b">
        <f aca="false">FALSE()</f>
        <v>0</v>
      </c>
      <c r="G12" s="4" t="n">
        <v>0.131</v>
      </c>
      <c r="H12" s="10" t="n">
        <v>0.1308</v>
      </c>
      <c r="I12" s="4" t="s">
        <v>110</v>
      </c>
    </row>
    <row r="13" customFormat="false" ht="15" hidden="false" customHeight="false" outlineLevel="0" collapsed="false">
      <c r="A13" s="4" t="s">
        <v>111</v>
      </c>
      <c r="B13" s="4" t="s">
        <v>112</v>
      </c>
      <c r="C13" s="4" t="n">
        <v>62</v>
      </c>
      <c r="D13" s="4" t="n">
        <v>214</v>
      </c>
      <c r="E13" s="4" t="n">
        <v>32.8</v>
      </c>
      <c r="F13" s="9" t="b">
        <f aca="false">FALSE()</f>
        <v>0</v>
      </c>
      <c r="G13" s="4" t="n">
        <v>0.03</v>
      </c>
      <c r="H13" s="10" t="n">
        <v>0.0299</v>
      </c>
      <c r="I13" s="4" t="s">
        <v>113</v>
      </c>
    </row>
    <row r="14" customFormat="false" ht="26.85" hidden="false" customHeight="false" outlineLevel="0" collapsed="false">
      <c r="A14" s="4" t="s">
        <v>114</v>
      </c>
      <c r="B14" s="4" t="s">
        <v>112</v>
      </c>
      <c r="C14" s="4" t="n">
        <v>53</v>
      </c>
      <c r="D14" s="4" t="n">
        <v>42</v>
      </c>
      <c r="E14" s="4" t="n">
        <v>15.9</v>
      </c>
      <c r="F14" s="9" t="b">
        <f aca="false">FALSE()</f>
        <v>0</v>
      </c>
      <c r="G14" s="4" t="n">
        <v>0.012</v>
      </c>
      <c r="H14" s="10" t="n">
        <v>0.0121</v>
      </c>
      <c r="I14" s="4" t="s">
        <v>115</v>
      </c>
    </row>
    <row r="15" customFormat="false" ht="26.85" hidden="false" customHeight="false" outlineLevel="0" collapsed="false">
      <c r="A15" s="4" t="s">
        <v>116</v>
      </c>
      <c r="B15" s="4" t="s">
        <v>93</v>
      </c>
      <c r="C15" s="4" t="n">
        <v>83</v>
      </c>
      <c r="D15" s="4" t="n">
        <v>39</v>
      </c>
      <c r="E15" s="4" t="n">
        <v>6.7</v>
      </c>
      <c r="F15" s="9" t="b">
        <f aca="false">FALSE()</f>
        <v>0</v>
      </c>
      <c r="G15" s="4" t="n">
        <v>0.009</v>
      </c>
      <c r="H15" s="10" t="n">
        <v>0.0091</v>
      </c>
      <c r="I15" s="4" t="s">
        <v>117</v>
      </c>
    </row>
    <row r="16" customFormat="false" ht="26.85" hidden="false" customHeight="false" outlineLevel="0" collapsed="false">
      <c r="A16" s="4" t="s">
        <v>118</v>
      </c>
      <c r="B16" s="4" t="s">
        <v>93</v>
      </c>
      <c r="C16" s="4" t="n">
        <v>128</v>
      </c>
      <c r="D16" s="4" t="n">
        <v>18</v>
      </c>
      <c r="E16" s="4" t="n">
        <v>32.8</v>
      </c>
      <c r="F16" s="9" t="b">
        <f aca="false">FALSE()</f>
        <v>0</v>
      </c>
      <c r="G16" s="4" t="n">
        <v>0.005</v>
      </c>
      <c r="H16" s="10" t="n">
        <v>0.0051</v>
      </c>
      <c r="I16" s="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1"/>
  </cols>
  <sheetData>
    <row r="1" customFormat="false" ht="16.15" hidden="false" customHeight="false" outlineLevel="0" collapsed="false">
      <c r="A1" s="8" t="s">
        <v>120</v>
      </c>
    </row>
    <row r="2" customFormat="false" ht="15" hidden="false" customHeight="false" outlineLevel="0" collapsed="false">
      <c r="A2" s="2" t="s">
        <v>121</v>
      </c>
    </row>
    <row r="4" customFormat="false" ht="26.85" hidden="false" customHeight="false" outlineLevel="0" collapsed="false">
      <c r="A4" s="3" t="s">
        <v>122</v>
      </c>
      <c r="B4" s="3" t="s">
        <v>21</v>
      </c>
      <c r="C4" s="3" t="s">
        <v>30</v>
      </c>
      <c r="D4" s="3" t="s">
        <v>55</v>
      </c>
      <c r="E4" s="3" t="s">
        <v>51</v>
      </c>
      <c r="F4" s="3" t="s">
        <v>123</v>
      </c>
      <c r="G4" s="3" t="s">
        <v>61</v>
      </c>
      <c r="H4" s="3" t="s">
        <v>124</v>
      </c>
      <c r="I4" s="3" t="s">
        <v>69</v>
      </c>
      <c r="J4" s="3" t="s">
        <v>71</v>
      </c>
      <c r="K4" s="3" t="s">
        <v>73</v>
      </c>
      <c r="L4" s="3" t="s">
        <v>125</v>
      </c>
    </row>
    <row r="5" customFormat="false" ht="15" hidden="false" customHeight="false" outlineLevel="0" collapsed="false">
      <c r="A5" s="11" t="s">
        <v>126</v>
      </c>
      <c r="B5" s="12" t="n">
        <v>0.5</v>
      </c>
      <c r="C5" s="12" t="n">
        <v>50</v>
      </c>
      <c r="D5" s="12" t="n">
        <v>20</v>
      </c>
      <c r="E5" s="12" t="n">
        <v>0.82</v>
      </c>
      <c r="F5" s="12" t="n">
        <v>0.7</v>
      </c>
      <c r="G5" s="11" t="n">
        <f aca="false">C5/MAX(D5,0.1)</f>
        <v>2.5</v>
      </c>
      <c r="H5" s="13" t="n">
        <f aca="false">D5/C5</f>
        <v>0.4</v>
      </c>
      <c r="I5" s="13" t="n">
        <f aca="false">1-MIN(G5/60,1)</f>
        <v>0.958333333333333</v>
      </c>
      <c r="J5" s="13" t="n">
        <f aca="false">0.5*E5+0.5*I5</f>
        <v>0.889166666666667</v>
      </c>
      <c r="K5" s="13" t="n">
        <f aca="false">1-MIN(B5/10,1)</f>
        <v>0.95</v>
      </c>
      <c r="L5" s="14" t="n">
        <f aca="false">K5*J5*F5</f>
        <v>0.591295833333333</v>
      </c>
    </row>
    <row r="6" customFormat="false" ht="15" hidden="false" customHeight="false" outlineLevel="0" collapsed="false">
      <c r="A6" s="11" t="s">
        <v>127</v>
      </c>
      <c r="B6" s="12" t="n">
        <v>0.5</v>
      </c>
      <c r="C6" s="12" t="n">
        <v>2000</v>
      </c>
      <c r="D6" s="12" t="n">
        <v>3</v>
      </c>
      <c r="E6" s="12" t="n">
        <v>0.2</v>
      </c>
      <c r="F6" s="12" t="n">
        <v>0.7</v>
      </c>
      <c r="G6" s="11" t="n">
        <f aca="false">C6/MAX(D6,0.1)</f>
        <v>666.666666666667</v>
      </c>
      <c r="H6" s="13" t="n">
        <f aca="false">D6/C6</f>
        <v>0.0015</v>
      </c>
      <c r="I6" s="13" t="n">
        <f aca="false">1-MIN(G6/60,1)</f>
        <v>0</v>
      </c>
      <c r="J6" s="13" t="n">
        <f aca="false">0.5*E6+0.5*I6</f>
        <v>0.1</v>
      </c>
      <c r="K6" s="13" t="n">
        <f aca="false">1-MIN(B6/10,1)</f>
        <v>0.95</v>
      </c>
      <c r="L6" s="14" t="n">
        <f aca="false">K6*J6*F6</f>
        <v>0.0665</v>
      </c>
    </row>
    <row r="7" customFormat="false" ht="15" hidden="false" customHeight="false" outlineLevel="0" collapsed="false">
      <c r="A7" s="11" t="s">
        <v>128</v>
      </c>
      <c r="B7" s="12" t="n">
        <v>25</v>
      </c>
      <c r="C7" s="12" t="n">
        <v>40</v>
      </c>
      <c r="D7" s="12" t="n">
        <v>5</v>
      </c>
      <c r="E7" s="12" t="n">
        <v>0.8</v>
      </c>
      <c r="F7" s="12" t="n">
        <v>0.7</v>
      </c>
      <c r="G7" s="11" t="n">
        <f aca="false">C7/MAX(D7,0.1)</f>
        <v>8</v>
      </c>
      <c r="H7" s="13" t="n">
        <f aca="false">D7/C7</f>
        <v>0.125</v>
      </c>
      <c r="I7" s="13" t="n">
        <f aca="false">1-MIN(G7/60,1)</f>
        <v>0.866666666666667</v>
      </c>
      <c r="J7" s="13" t="n">
        <f aca="false">0.5*E7+0.5*I7</f>
        <v>0.833333333333333</v>
      </c>
      <c r="K7" s="13" t="n">
        <f aca="false">1-MIN(B7/10,1)</f>
        <v>0</v>
      </c>
      <c r="L7" s="14" t="n">
        <f aca="false">K7*J7*F7</f>
        <v>0</v>
      </c>
    </row>
    <row r="8" customFormat="false" ht="15" hidden="false" customHeight="false" outlineLevel="0" collapsed="false">
      <c r="A8" s="11" t="s">
        <v>129</v>
      </c>
      <c r="B8" s="12" t="n">
        <v>0.5</v>
      </c>
      <c r="C8" s="12" t="n">
        <v>50</v>
      </c>
      <c r="D8" s="12" t="n">
        <v>20</v>
      </c>
      <c r="E8" s="12" t="n">
        <v>0.82</v>
      </c>
      <c r="F8" s="12" t="n">
        <v>0.05</v>
      </c>
      <c r="G8" s="11" t="n">
        <f aca="false">C8/MAX(D8,0.1)</f>
        <v>2.5</v>
      </c>
      <c r="H8" s="13" t="n">
        <f aca="false">D8/C8</f>
        <v>0.4</v>
      </c>
      <c r="I8" s="13" t="n">
        <f aca="false">1-MIN(G8/60,1)</f>
        <v>0.958333333333333</v>
      </c>
      <c r="J8" s="13" t="n">
        <f aca="false">0.5*E8+0.5*I8</f>
        <v>0.889166666666667</v>
      </c>
      <c r="K8" s="13" t="n">
        <f aca="false">1-MIN(B8/10,1)</f>
        <v>0.95</v>
      </c>
      <c r="L8" s="14" t="n">
        <f aca="false">K8*J8*F8</f>
        <v>0.0422354166666667</v>
      </c>
    </row>
    <row r="9" customFormat="false" ht="15" hidden="false" customHeight="false" outlineLevel="0" collapsed="false">
      <c r="A9" s="11" t="s">
        <v>130</v>
      </c>
      <c r="B9" s="12" t="n">
        <v>6</v>
      </c>
      <c r="C9" s="12" t="n">
        <v>120</v>
      </c>
      <c r="D9" s="12" t="n">
        <v>15</v>
      </c>
      <c r="E9" s="12" t="n">
        <v>0.7</v>
      </c>
      <c r="F9" s="12" t="n">
        <v>0.6</v>
      </c>
      <c r="G9" s="11" t="n">
        <f aca="false">C9/MAX(D9,0.1)</f>
        <v>8</v>
      </c>
      <c r="H9" s="13" t="n">
        <f aca="false">D9/C9</f>
        <v>0.125</v>
      </c>
      <c r="I9" s="13" t="n">
        <f aca="false">1-MIN(G9/60,1)</f>
        <v>0.866666666666667</v>
      </c>
      <c r="J9" s="13" t="n">
        <f aca="false">0.5*E9+0.5*I9</f>
        <v>0.783333333333333</v>
      </c>
      <c r="K9" s="13" t="n">
        <f aca="false">1-MIN(B9/10,1)</f>
        <v>0.4</v>
      </c>
      <c r="L9" s="14" t="n">
        <f aca="false">K9*J9*F9</f>
        <v>0.188</v>
      </c>
    </row>
    <row r="11" customFormat="false" ht="15" hidden="false" customHeight="false" outlineLevel="0" collapsed="false">
      <c r="A11" s="2" t="s">
        <v>131</v>
      </c>
    </row>
    <row r="12" customFormat="false" ht="15" hidden="false" customHeight="false" outlineLevel="0" collapsed="false">
      <c r="A12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5" t="s">
        <v>133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4" customFormat="false" ht="15" hidden="false" customHeight="false" outlineLevel="0" collapsed="false">
      <c r="A4" s="16" t="s">
        <v>136</v>
      </c>
    </row>
    <row r="5" customFormat="false" ht="15" hidden="false" customHeight="false" outlineLevel="0" collapsed="false">
      <c r="A5" s="16"/>
    </row>
    <row r="6" customFormat="false" ht="15" hidden="false" customHeight="false" outlineLevel="0" collapsed="false">
      <c r="A6" s="15" t="s">
        <v>137</v>
      </c>
    </row>
    <row r="7" customFormat="false" ht="15" hidden="false" customHeight="false" outlineLevel="0" collapsed="false">
      <c r="A7" s="16" t="s">
        <v>138</v>
      </c>
    </row>
    <row r="8" customFormat="false" ht="15" hidden="false" customHeight="false" outlineLevel="0" collapsed="false">
      <c r="A8" s="16" t="s">
        <v>139</v>
      </c>
    </row>
    <row r="9" customFormat="false" ht="15" hidden="false" customHeight="false" outlineLevel="0" collapsed="false">
      <c r="A9" s="16" t="s">
        <v>140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7" t="s">
        <v>141</v>
      </c>
    </row>
    <row r="12" customFormat="false" ht="15" hidden="false" customHeight="false" outlineLevel="0" collapsed="false">
      <c r="A12" s="16" t="s">
        <v>142</v>
      </c>
    </row>
    <row r="13" customFormat="false" ht="26.85" hidden="false" customHeight="false" outlineLevel="0" collapsed="false">
      <c r="A13" s="16" t="s">
        <v>143</v>
      </c>
    </row>
    <row r="14" customFormat="false" ht="26.85" hidden="false" customHeight="false" outlineLevel="0" collapsed="false">
      <c r="A14" s="16" t="s">
        <v>144</v>
      </c>
    </row>
    <row r="15" customFormat="false" ht="15" hidden="false" customHeight="false" outlineLevel="0" collapsed="false">
      <c r="A15" s="16"/>
    </row>
    <row r="16" customFormat="false" ht="15" hidden="false" customHeight="false" outlineLevel="0" collapsed="false">
      <c r="A16" s="15" t="s">
        <v>145</v>
      </c>
    </row>
    <row r="17" customFormat="false" ht="15" hidden="false" customHeight="false" outlineLevel="0" collapsed="false">
      <c r="A17" s="16" t="s">
        <v>146</v>
      </c>
    </row>
    <row r="18" customFormat="false" ht="15" hidden="false" customHeight="false" outlineLevel="0" collapsed="false">
      <c r="A18" s="16" t="s">
        <v>147</v>
      </c>
    </row>
    <row r="19" customFormat="false" ht="15" hidden="false" customHeight="false" outlineLevel="0" collapsed="false">
      <c r="A19" s="16"/>
    </row>
    <row r="20" customFormat="false" ht="15" hidden="false" customHeight="false" outlineLevel="0" collapsed="false">
      <c r="A20" s="15" t="s">
        <v>148</v>
      </c>
    </row>
    <row r="21" customFormat="false" ht="15" hidden="false" customHeight="false" outlineLevel="0" collapsed="false">
      <c r="A21" s="16" t="s">
        <v>149</v>
      </c>
    </row>
    <row r="22" customFormat="false" ht="15" hidden="false" customHeight="false" outlineLevel="0" collapsed="false">
      <c r="A22" s="16" t="s">
        <v>150</v>
      </c>
    </row>
    <row r="23" customFormat="false" ht="15" hidden="false" customHeight="false" outlineLevel="0" collapsed="false">
      <c r="A23" s="16"/>
    </row>
    <row r="24" customFormat="false" ht="15" hidden="false" customHeight="false" outlineLevel="0" collapsed="false">
      <c r="A24" s="18" t="s">
        <v>151</v>
      </c>
    </row>
    <row r="25" customFormat="false" ht="15" hidden="false" customHeight="false" outlineLevel="0" collapsed="false">
      <c r="A25" s="16" t="s">
        <v>152</v>
      </c>
    </row>
    <row r="26" customFormat="false" ht="26.85" hidden="false" customHeight="false" outlineLevel="0" collapsed="false">
      <c r="A26" s="16" t="s">
        <v>153</v>
      </c>
    </row>
    <row r="27" customFormat="false" ht="15" hidden="false" customHeight="false" outlineLevel="0" collapsed="false">
      <c r="A27" s="16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2026-06-05T19:54:34Z</dcterms:created>
  <dc:creator>openpyxl</dc:creator>
  <dc:description/>
  <dc:language>en-US</dc:language>
  <cp:lastModifiedBy/>
  <dcterms:modified xsi:type="dcterms:W3CDTF">2026-06-05T19:54:34Z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